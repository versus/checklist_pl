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na/Nextcloud/Status Quo/Wzóry/"/>
    </mc:Choice>
  </mc:AlternateContent>
  <xr:revisionPtr revIDLastSave="0" documentId="13_ncr:1_{7AC737C8-7604-D646-AB90-9B088EF20553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Pobyt" sheetId="1" r:id="rId1"/>
    <sheet name="Podróż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14" i="2" l="1"/>
  <c r="I11" i="2"/>
  <c r="I10" i="2"/>
  <c r="I9" i="2"/>
  <c r="I8" i="2"/>
  <c r="D8" i="2"/>
  <c r="I7" i="2"/>
  <c r="D7" i="2"/>
  <c r="I6" i="2"/>
  <c r="I14" i="2" s="1"/>
  <c r="D6" i="2"/>
  <c r="I5" i="2"/>
  <c r="D5" i="2"/>
  <c r="I4" i="2"/>
  <c r="D4" i="2"/>
  <c r="I3" i="2"/>
  <c r="D3" i="2"/>
  <c r="F26" i="1"/>
  <c r="F27" i="1" s="1"/>
  <c r="F12" i="1" l="1"/>
  <c r="F14" i="1" l="1"/>
  <c r="F13" i="1"/>
  <c r="F15" i="1"/>
</calcChain>
</file>

<file path=xl/sharedStrings.xml><?xml version="1.0" encoding="utf-8"?>
<sst xmlns="http://schemas.openxmlformats.org/spreadsheetml/2006/main" count="112" uniqueCount="51">
  <si>
    <t xml:space="preserve">Osoba 1 </t>
  </si>
  <si>
    <t>Nr</t>
  </si>
  <si>
    <t>Typ dokumentu pobytowego</t>
  </si>
  <si>
    <t>Data początkowa</t>
  </si>
  <si>
    <t xml:space="preserve">Data końcowa </t>
  </si>
  <si>
    <t>Liczba dni</t>
  </si>
  <si>
    <t>Zaliczone dni w rozumieniu art. 211-212 Ustawy</t>
  </si>
  <si>
    <t>Podstawa prawna</t>
  </si>
  <si>
    <t>1.</t>
  </si>
  <si>
    <t>Wiza krajowa typu D</t>
  </si>
  <si>
    <t>art. 212 ust. 1 pkt. 3a Ustawy</t>
  </si>
  <si>
    <t>2.</t>
  </si>
  <si>
    <t>Na postawie pieczątki (przebywanie na podstawie art 108 Ustawy)</t>
  </si>
  <si>
    <t>art. 211 Ustawy</t>
  </si>
  <si>
    <t>3.</t>
  </si>
  <si>
    <t>Zezwolenie na pobyt czasowy w celu krztałcenia się</t>
  </si>
  <si>
    <t>art. 212 ust. 1 pkt. 3b Ustawy</t>
  </si>
  <si>
    <t>4.</t>
  </si>
  <si>
    <t>Zezwolenie na pobyt czasowy (karta niebieska, połączenie z rodziną)</t>
  </si>
  <si>
    <t>5.</t>
  </si>
  <si>
    <t>Art. 211 Ustawy</t>
  </si>
  <si>
    <t>6.</t>
  </si>
  <si>
    <t>Zezwolenie na pobyt czasowy i pracę</t>
  </si>
  <si>
    <t>7.</t>
  </si>
  <si>
    <t xml:space="preserve">Razem </t>
  </si>
  <si>
    <t>dni</t>
  </si>
  <si>
    <t>miesięcy</t>
  </si>
  <si>
    <t>lat</t>
  </si>
  <si>
    <t>miesięcy przez 31 dzień</t>
  </si>
  <si>
    <t>Osoba 2</t>
  </si>
  <si>
    <t>Alena</t>
  </si>
  <si>
    <t>Maksim</t>
  </si>
  <si>
    <t>L.P.</t>
  </si>
  <si>
    <t>Od</t>
  </si>
  <si>
    <t>Do</t>
  </si>
  <si>
    <t>Ile dni</t>
  </si>
  <si>
    <t>Dokąd</t>
  </si>
  <si>
    <t>Rosja, Tuła</t>
  </si>
  <si>
    <t>Czechy</t>
  </si>
  <si>
    <t>Czechy, Praga</t>
  </si>
  <si>
    <t>Rosja, Rostów-nad-Donem</t>
  </si>
  <si>
    <t>Rosja, Kaliningrad</t>
  </si>
  <si>
    <t>Niemcy, Berlin</t>
  </si>
  <si>
    <t>Hiszpania</t>
  </si>
  <si>
    <t>Białoruś, Brześć</t>
  </si>
  <si>
    <t>8.</t>
  </si>
  <si>
    <t>Hiszpania, Palma de Majorca</t>
  </si>
  <si>
    <t>9.</t>
  </si>
  <si>
    <t>Rosja, Uljanowsk</t>
  </si>
  <si>
    <t>10.</t>
  </si>
  <si>
    <t>Razem: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</si>
</sst>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  <charset val="1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4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0" fontId="1" fillId="0" borderId="2" xfId="0" applyFont="1" applyBorder="1"/>
    <xf numFmtId="0" fontId="0" fillId="0" borderId="2" xfId="0" applyBorder="1"/>
    <xf numFmtId="14" fontId="0" fillId="0" borderId="2" xfId="0" applyNumberFormat="1" applyBorder="1"/>
    <xf numFmtId="14" fontId="0" fillId="3" borderId="1" xfId="0" applyNumberFormat="1" applyFill="1" applyBorder="1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90" zoomScaleNormal="90" workbookViewId="0">
      <selection activeCell="I15" sqref="I15"/>
    </sheetView>
  </sheetViews>
  <sheetFormatPr baseColWidth="10" defaultColWidth="11.6640625" defaultRowHeight="13" x14ac:dyDescent="0.15"/>
  <cols>
    <col min="1" max="1" width="3.6640625" customWidth="1"/>
    <col min="2" max="2" width="38.5" customWidth="1"/>
    <col min="3" max="3" width="12.1640625" customWidth="1"/>
    <col min="5" max="5" width="14.33203125" customWidth="1"/>
    <col min="6" max="6" width="19" customWidth="1"/>
    <col min="7" max="7" width="25.83203125" customWidth="1"/>
  </cols>
  <sheetData>
    <row r="1" spans="1:10" ht="12.75" customHeight="1" x14ac:dyDescent="0.15">
      <c r="A1" s="3" t="s">
        <v>0</v>
      </c>
      <c r="B1" s="3"/>
      <c r="C1" s="3"/>
      <c r="D1" s="3"/>
      <c r="E1" s="3"/>
      <c r="F1" s="3"/>
      <c r="G1" s="3"/>
    </row>
    <row r="2" spans="1:10" ht="42" x14ac:dyDescent="0.1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5" t="s">
        <v>7</v>
      </c>
    </row>
    <row r="3" spans="1:10" ht="14" x14ac:dyDescent="0.15">
      <c r="A3" s="6" t="s">
        <v>8</v>
      </c>
      <c r="B3" s="6" t="s">
        <v>9</v>
      </c>
      <c r="C3" s="7"/>
      <c r="D3" s="7"/>
      <c r="E3" s="6"/>
      <c r="F3" s="6"/>
      <c r="G3" s="8" t="s">
        <v>10</v>
      </c>
    </row>
    <row r="4" spans="1:10" ht="28" x14ac:dyDescent="0.15">
      <c r="A4" s="6" t="s">
        <v>11</v>
      </c>
      <c r="B4" s="9" t="s">
        <v>12</v>
      </c>
      <c r="C4" s="7"/>
      <c r="D4" s="7"/>
      <c r="E4" s="6"/>
      <c r="F4" s="6"/>
      <c r="G4" s="8" t="s">
        <v>13</v>
      </c>
      <c r="I4" s="10"/>
      <c r="J4" s="10"/>
    </row>
    <row r="5" spans="1:10" ht="28" x14ac:dyDescent="0.15">
      <c r="A5" s="6" t="s">
        <v>14</v>
      </c>
      <c r="B5" s="9" t="s">
        <v>15</v>
      </c>
      <c r="C5" s="7"/>
      <c r="D5" s="7"/>
      <c r="E5" s="6"/>
      <c r="F5" s="6"/>
      <c r="G5" s="8" t="s">
        <v>16</v>
      </c>
    </row>
    <row r="6" spans="1:10" ht="28" x14ac:dyDescent="0.15">
      <c r="A6" s="6" t="s">
        <v>17</v>
      </c>
      <c r="B6" s="9" t="s">
        <v>18</v>
      </c>
      <c r="C6" s="7"/>
      <c r="D6" s="7"/>
      <c r="E6" s="6"/>
      <c r="F6" s="6"/>
      <c r="G6" s="8" t="s">
        <v>13</v>
      </c>
    </row>
    <row r="7" spans="1:10" ht="28" x14ac:dyDescent="0.15">
      <c r="A7" s="6" t="s">
        <v>19</v>
      </c>
      <c r="B7" s="9" t="s">
        <v>12</v>
      </c>
      <c r="C7" s="7"/>
      <c r="D7" s="7"/>
      <c r="E7" s="6"/>
      <c r="F7" s="6"/>
      <c r="G7" s="8" t="s">
        <v>20</v>
      </c>
    </row>
    <row r="8" spans="1:10" ht="30" customHeight="1" x14ac:dyDescent="0.15">
      <c r="A8" s="6" t="s">
        <v>21</v>
      </c>
      <c r="B8" s="9" t="s">
        <v>22</v>
      </c>
      <c r="C8" s="7"/>
      <c r="D8" s="7"/>
      <c r="E8" s="6"/>
      <c r="F8" s="6"/>
      <c r="G8" s="8" t="s">
        <v>20</v>
      </c>
    </row>
    <row r="9" spans="1:10" ht="28" x14ac:dyDescent="0.15">
      <c r="A9" s="6" t="s">
        <v>23</v>
      </c>
      <c r="B9" s="9" t="s">
        <v>12</v>
      </c>
      <c r="C9" s="7"/>
      <c r="D9" s="20"/>
      <c r="E9" s="6"/>
      <c r="F9" s="6"/>
      <c r="G9" s="8" t="s">
        <v>20</v>
      </c>
    </row>
    <row r="10" spans="1:10" x14ac:dyDescent="0.15">
      <c r="C10" s="10"/>
      <c r="D10" s="10"/>
    </row>
    <row r="11" spans="1:10" x14ac:dyDescent="0.15">
      <c r="C11" s="10"/>
      <c r="D11" s="10"/>
    </row>
    <row r="12" spans="1:10" x14ac:dyDescent="0.15">
      <c r="B12" s="11" t="s">
        <v>24</v>
      </c>
      <c r="C12" s="12"/>
      <c r="D12" s="12"/>
      <c r="E12" s="11"/>
      <c r="F12" s="13">
        <f>SUM(F3:F9)</f>
        <v>0</v>
      </c>
      <c r="G12" t="s">
        <v>25</v>
      </c>
    </row>
    <row r="13" spans="1:10" x14ac:dyDescent="0.15">
      <c r="B13" s="11"/>
      <c r="C13" s="12"/>
      <c r="D13" s="12"/>
      <c r="E13" s="11"/>
      <c r="F13" s="14">
        <f>F12/30</f>
        <v>0</v>
      </c>
      <c r="G13" t="s">
        <v>26</v>
      </c>
    </row>
    <row r="14" spans="1:10" x14ac:dyDescent="0.15">
      <c r="C14" s="10"/>
      <c r="D14" s="10"/>
      <c r="F14" s="15">
        <f>F12/365</f>
        <v>0</v>
      </c>
      <c r="G14" t="s">
        <v>27</v>
      </c>
    </row>
    <row r="15" spans="1:10" x14ac:dyDescent="0.15">
      <c r="F15" s="16">
        <f>F12/31</f>
        <v>0</v>
      </c>
      <c r="G15" t="s">
        <v>28</v>
      </c>
    </row>
    <row r="16" spans="1:10" x14ac:dyDescent="0.15">
      <c r="A16" s="2" t="s">
        <v>29</v>
      </c>
      <c r="B16" s="2"/>
      <c r="C16" s="2"/>
      <c r="D16" s="2"/>
      <c r="E16" s="2"/>
      <c r="F16" s="2"/>
      <c r="G16" s="2"/>
    </row>
    <row r="17" spans="1:7" ht="42" x14ac:dyDescent="0.15">
      <c r="A17" s="4" t="s">
        <v>1</v>
      </c>
      <c r="B17" s="4" t="s">
        <v>2</v>
      </c>
      <c r="C17" s="4" t="s">
        <v>3</v>
      </c>
      <c r="D17" s="4" t="s">
        <v>4</v>
      </c>
      <c r="E17" s="5" t="s">
        <v>5</v>
      </c>
      <c r="F17" s="4" t="s">
        <v>6</v>
      </c>
      <c r="G17" s="5" t="s">
        <v>7</v>
      </c>
    </row>
    <row r="18" spans="1:7" ht="14" x14ac:dyDescent="0.15">
      <c r="A18" s="6" t="s">
        <v>8</v>
      </c>
      <c r="B18" s="6" t="s">
        <v>9</v>
      </c>
      <c r="C18" s="7"/>
      <c r="D18" s="7"/>
      <c r="E18" s="6"/>
      <c r="F18" s="6"/>
      <c r="G18" s="8" t="s">
        <v>10</v>
      </c>
    </row>
    <row r="19" spans="1:7" ht="28" x14ac:dyDescent="0.15">
      <c r="A19" s="6" t="s">
        <v>11</v>
      </c>
      <c r="B19" s="9" t="s">
        <v>12</v>
      </c>
      <c r="C19" s="7"/>
      <c r="D19" s="7"/>
      <c r="E19" s="6"/>
      <c r="F19" s="6"/>
      <c r="G19" s="8" t="s">
        <v>13</v>
      </c>
    </row>
    <row r="20" spans="1:7" ht="28" x14ac:dyDescent="0.15">
      <c r="A20" s="6" t="s">
        <v>14</v>
      </c>
      <c r="B20" s="9" t="s">
        <v>15</v>
      </c>
      <c r="C20" s="7"/>
      <c r="D20" s="7"/>
      <c r="E20" s="6"/>
      <c r="F20" s="6"/>
      <c r="G20" s="8" t="s">
        <v>16</v>
      </c>
    </row>
    <row r="21" spans="1:7" ht="28" x14ac:dyDescent="0.15">
      <c r="A21" s="6" t="s">
        <v>17</v>
      </c>
      <c r="B21" s="9" t="s">
        <v>18</v>
      </c>
      <c r="C21" s="7"/>
      <c r="D21" s="7"/>
      <c r="E21" s="6"/>
      <c r="F21" s="6"/>
      <c r="G21" s="8" t="s">
        <v>13</v>
      </c>
    </row>
    <row r="22" spans="1:7" ht="28" x14ac:dyDescent="0.15">
      <c r="A22" s="6" t="s">
        <v>19</v>
      </c>
      <c r="B22" s="9" t="s">
        <v>12</v>
      </c>
      <c r="C22" s="7"/>
      <c r="D22" s="7"/>
      <c r="E22" s="6"/>
      <c r="F22" s="6"/>
      <c r="G22" s="8" t="s">
        <v>20</v>
      </c>
    </row>
    <row r="23" spans="1:7" ht="14" x14ac:dyDescent="0.15">
      <c r="A23" s="6" t="s">
        <v>21</v>
      </c>
      <c r="B23" s="9" t="s">
        <v>22</v>
      </c>
      <c r="C23" s="7"/>
      <c r="D23" s="7"/>
      <c r="E23" s="6"/>
      <c r="F23" s="6"/>
      <c r="G23" s="8" t="s">
        <v>20</v>
      </c>
    </row>
    <row r="24" spans="1:7" x14ac:dyDescent="0.15">
      <c r="A24" s="6"/>
      <c r="B24" s="6"/>
      <c r="C24" s="7"/>
      <c r="D24" s="7"/>
      <c r="E24" s="6"/>
      <c r="F24" s="6"/>
      <c r="G24" s="6"/>
    </row>
    <row r="25" spans="1:7" x14ac:dyDescent="0.15">
      <c r="C25" s="10"/>
      <c r="D25" s="10"/>
    </row>
    <row r="26" spans="1:7" x14ac:dyDescent="0.15">
      <c r="B26" s="11" t="s">
        <v>24</v>
      </c>
      <c r="C26" s="12"/>
      <c r="D26" s="12"/>
      <c r="E26" s="11"/>
      <c r="F26" s="13">
        <f>F18+F19+F20+F21+F22+F24</f>
        <v>0</v>
      </c>
      <c r="G26" t="s">
        <v>25</v>
      </c>
    </row>
    <row r="27" spans="1:7" x14ac:dyDescent="0.15">
      <c r="B27" s="11"/>
      <c r="C27" s="12"/>
      <c r="D27" s="12"/>
      <c r="E27" s="11"/>
      <c r="F27" s="14">
        <f>F26/30</f>
        <v>0</v>
      </c>
      <c r="G27" t="s">
        <v>26</v>
      </c>
    </row>
  </sheetData>
  <mergeCells count="2">
    <mergeCell ref="A1:G1"/>
    <mergeCell ref="A16:G16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zoomScale="90" zoomScaleNormal="90" workbookViewId="0">
      <selection activeCell="I15" sqref="I15"/>
    </sheetView>
  </sheetViews>
  <sheetFormatPr baseColWidth="10" defaultColWidth="11.6640625" defaultRowHeight="13" x14ac:dyDescent="0.15"/>
  <cols>
    <col min="1" max="1" width="4.5" customWidth="1"/>
    <col min="2" max="3" width="11.1640625" customWidth="1"/>
    <col min="4" max="4" width="6.83203125" customWidth="1"/>
    <col min="5" max="5" width="24.5" customWidth="1"/>
    <col min="6" max="6" width="4.6640625" customWidth="1"/>
    <col min="7" max="8" width="11.1640625" customWidth="1"/>
    <col min="9" max="9" width="6.83203125" customWidth="1"/>
    <col min="10" max="10" width="26.5" customWidth="1"/>
  </cols>
  <sheetData>
    <row r="1" spans="1:10" x14ac:dyDescent="0.15">
      <c r="A1" s="1" t="s">
        <v>30</v>
      </c>
      <c r="B1" s="1"/>
      <c r="C1" s="1"/>
      <c r="D1" s="1"/>
      <c r="E1" s="1"/>
      <c r="F1" s="1" t="s">
        <v>31</v>
      </c>
      <c r="G1" s="1"/>
      <c r="H1" s="1"/>
      <c r="I1" s="1"/>
      <c r="J1" s="1"/>
    </row>
    <row r="2" spans="1:10" x14ac:dyDescent="0.15">
      <c r="A2" s="17" t="s">
        <v>32</v>
      </c>
      <c r="B2" s="17" t="s">
        <v>33</v>
      </c>
      <c r="C2" s="17" t="s">
        <v>34</v>
      </c>
      <c r="D2" s="17" t="s">
        <v>35</v>
      </c>
      <c r="E2" s="17" t="s">
        <v>36</v>
      </c>
      <c r="F2" s="17" t="s">
        <v>32</v>
      </c>
      <c r="G2" s="17" t="s">
        <v>33</v>
      </c>
      <c r="H2" s="17" t="s">
        <v>34</v>
      </c>
      <c r="I2" s="17" t="s">
        <v>35</v>
      </c>
      <c r="J2" s="17" t="s">
        <v>36</v>
      </c>
    </row>
    <row r="3" spans="1:10" x14ac:dyDescent="0.15">
      <c r="A3" s="18" t="s">
        <v>8</v>
      </c>
      <c r="B3" s="19">
        <v>42385</v>
      </c>
      <c r="C3" s="19">
        <v>42389</v>
      </c>
      <c r="D3" s="18">
        <f t="shared" ref="D3:D8" si="0">DATEDIF(B3,C3,"d")+1</f>
        <v>5</v>
      </c>
      <c r="E3" s="18" t="s">
        <v>37</v>
      </c>
      <c r="F3" s="18" t="s">
        <v>8</v>
      </c>
      <c r="G3" s="19">
        <v>42385</v>
      </c>
      <c r="H3" s="19">
        <v>42389</v>
      </c>
      <c r="I3" s="18">
        <f t="shared" ref="I3:I11" si="1">DATEDIF(G3,H3,"d")+1</f>
        <v>5</v>
      </c>
      <c r="J3" s="18" t="s">
        <v>37</v>
      </c>
    </row>
    <row r="4" spans="1:10" x14ac:dyDescent="0.15">
      <c r="A4" s="18" t="s">
        <v>11</v>
      </c>
      <c r="B4" s="19">
        <v>42561</v>
      </c>
      <c r="C4" s="19">
        <v>42568</v>
      </c>
      <c r="D4" s="18">
        <f t="shared" si="0"/>
        <v>8</v>
      </c>
      <c r="E4" s="18" t="s">
        <v>38</v>
      </c>
      <c r="F4" s="18" t="s">
        <v>11</v>
      </c>
      <c r="G4" s="19">
        <v>42561</v>
      </c>
      <c r="H4" s="19">
        <v>42568</v>
      </c>
      <c r="I4" s="18">
        <f t="shared" si="1"/>
        <v>8</v>
      </c>
      <c r="J4" s="18" t="s">
        <v>39</v>
      </c>
    </row>
    <row r="5" spans="1:10" x14ac:dyDescent="0.15">
      <c r="A5" s="18" t="s">
        <v>14</v>
      </c>
      <c r="B5" s="19">
        <v>42644</v>
      </c>
      <c r="C5" s="19">
        <v>42655</v>
      </c>
      <c r="D5" s="18">
        <f t="shared" si="0"/>
        <v>12</v>
      </c>
      <c r="E5" s="18" t="s">
        <v>40</v>
      </c>
      <c r="F5" s="18" t="s">
        <v>14</v>
      </c>
      <c r="G5" s="19">
        <v>42644</v>
      </c>
      <c r="H5" s="19">
        <v>42644</v>
      </c>
      <c r="I5" s="18">
        <f t="shared" si="1"/>
        <v>1</v>
      </c>
      <c r="J5" s="18" t="s">
        <v>41</v>
      </c>
    </row>
    <row r="6" spans="1:10" x14ac:dyDescent="0.15">
      <c r="A6" s="19" t="s">
        <v>17</v>
      </c>
      <c r="B6" s="19">
        <v>43281</v>
      </c>
      <c r="C6" s="19">
        <v>43282</v>
      </c>
      <c r="D6" s="18">
        <f t="shared" si="0"/>
        <v>2</v>
      </c>
      <c r="E6" s="18" t="s">
        <v>42</v>
      </c>
      <c r="F6" s="19" t="s">
        <v>17</v>
      </c>
      <c r="G6" s="19">
        <v>42654</v>
      </c>
      <c r="H6" s="19">
        <v>42655</v>
      </c>
      <c r="I6" s="18">
        <f t="shared" si="1"/>
        <v>2</v>
      </c>
      <c r="J6" s="18" t="s">
        <v>41</v>
      </c>
    </row>
    <row r="7" spans="1:10" x14ac:dyDescent="0.15">
      <c r="A7" s="18" t="s">
        <v>19</v>
      </c>
      <c r="B7" s="19">
        <v>43631</v>
      </c>
      <c r="C7" s="19">
        <v>43646</v>
      </c>
      <c r="D7" s="18">
        <f t="shared" si="0"/>
        <v>16</v>
      </c>
      <c r="E7" s="18" t="s">
        <v>43</v>
      </c>
      <c r="F7" s="18" t="s">
        <v>19</v>
      </c>
      <c r="G7" s="19">
        <v>43106</v>
      </c>
      <c r="H7" s="19">
        <v>43106</v>
      </c>
      <c r="I7" s="18">
        <f t="shared" si="1"/>
        <v>1</v>
      </c>
      <c r="J7" s="18" t="s">
        <v>44</v>
      </c>
    </row>
    <row r="8" spans="1:10" x14ac:dyDescent="0.15">
      <c r="A8" s="18" t="s">
        <v>21</v>
      </c>
      <c r="B8" s="19">
        <v>43763</v>
      </c>
      <c r="C8" s="19">
        <v>43772</v>
      </c>
      <c r="D8" s="18">
        <f t="shared" si="0"/>
        <v>10</v>
      </c>
      <c r="E8" s="18" t="s">
        <v>40</v>
      </c>
      <c r="F8" s="18" t="s">
        <v>21</v>
      </c>
      <c r="G8" s="19">
        <v>43428</v>
      </c>
      <c r="H8" s="19">
        <v>43428</v>
      </c>
      <c r="I8" s="18">
        <f t="shared" si="1"/>
        <v>1</v>
      </c>
      <c r="J8" s="18" t="s">
        <v>44</v>
      </c>
    </row>
    <row r="9" spans="1:10" x14ac:dyDescent="0.15">
      <c r="A9" s="18" t="s">
        <v>23</v>
      </c>
      <c r="B9" s="19">
        <v>44225</v>
      </c>
      <c r="C9" s="19">
        <v>44241</v>
      </c>
      <c r="D9" s="18">
        <v>17</v>
      </c>
      <c r="E9" s="18" t="s">
        <v>40</v>
      </c>
      <c r="F9" s="18" t="s">
        <v>23</v>
      </c>
      <c r="G9" s="19">
        <v>43281</v>
      </c>
      <c r="H9" s="19">
        <v>43282</v>
      </c>
      <c r="I9" s="18">
        <f t="shared" si="1"/>
        <v>2</v>
      </c>
      <c r="J9" s="18" t="s">
        <v>42</v>
      </c>
    </row>
    <row r="10" spans="1:10" x14ac:dyDescent="0.15">
      <c r="A10" s="18" t="s">
        <v>45</v>
      </c>
      <c r="B10" s="18"/>
      <c r="C10" s="18"/>
      <c r="D10" s="18"/>
      <c r="E10" s="18"/>
      <c r="F10" s="18" t="s">
        <v>45</v>
      </c>
      <c r="G10" s="19">
        <v>43631</v>
      </c>
      <c r="H10" s="19">
        <v>43646</v>
      </c>
      <c r="I10" s="18">
        <f t="shared" si="1"/>
        <v>16</v>
      </c>
      <c r="J10" s="18" t="s">
        <v>46</v>
      </c>
    </row>
    <row r="11" spans="1:10" x14ac:dyDescent="0.15">
      <c r="A11" s="18"/>
      <c r="B11" s="18"/>
      <c r="C11" s="18"/>
      <c r="D11" s="18"/>
      <c r="E11" s="18"/>
      <c r="F11" s="18" t="s">
        <v>47</v>
      </c>
      <c r="G11" s="19">
        <v>43748</v>
      </c>
      <c r="H11" s="19">
        <v>43759</v>
      </c>
      <c r="I11" s="18">
        <f t="shared" si="1"/>
        <v>12</v>
      </c>
      <c r="J11" s="18" t="s">
        <v>48</v>
      </c>
    </row>
    <row r="12" spans="1:10" x14ac:dyDescent="0.15">
      <c r="A12" s="18"/>
      <c r="B12" s="18"/>
      <c r="C12" s="18"/>
      <c r="D12" s="18"/>
      <c r="E12" s="18"/>
      <c r="F12" s="18" t="s">
        <v>49</v>
      </c>
      <c r="G12" s="19">
        <v>44225</v>
      </c>
      <c r="H12" s="19">
        <v>44241</v>
      </c>
      <c r="I12" s="18">
        <v>17</v>
      </c>
      <c r="J12" s="18" t="s">
        <v>48</v>
      </c>
    </row>
    <row r="13" spans="1:10" x14ac:dyDescent="0.15">
      <c r="A13" s="18"/>
      <c r="B13" s="18"/>
      <c r="C13" s="18"/>
      <c r="D13" s="18"/>
      <c r="E13" s="18"/>
      <c r="F13" s="18"/>
      <c r="G13" s="19"/>
      <c r="H13" s="19"/>
      <c r="I13" s="18"/>
      <c r="J13" s="18"/>
    </row>
    <row r="14" spans="1:10" x14ac:dyDescent="0.15">
      <c r="A14" s="18"/>
      <c r="B14" s="18"/>
      <c r="C14" s="17" t="s">
        <v>50</v>
      </c>
      <c r="D14" s="17">
        <f>SUM(D3:D13)</f>
        <v>70</v>
      </c>
      <c r="E14" s="18"/>
      <c r="F14" s="18"/>
      <c r="G14" s="18"/>
      <c r="H14" s="17" t="s">
        <v>50</v>
      </c>
      <c r="I14" s="17">
        <f>SUM(I3:I13)</f>
        <v>65</v>
      </c>
      <c r="J14" s="18"/>
    </row>
  </sheetData>
  <mergeCells count="2">
    <mergeCell ref="A1:E1"/>
    <mergeCell ref="F1:J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Pobyt</vt:lpstr>
      <vt:lpstr>Podróże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Maksim Prianichnikov</dc:creator>
  <dc:description/>
  <cp:lastModifiedBy>Microsoft Office User</cp:lastModifiedBy>
  <cp:revision>32</cp:revision>
  <dcterms:created xsi:type="dcterms:W3CDTF">2020-02-21T19:40:00Z</dcterms:created>
  <dcterms:modified xsi:type="dcterms:W3CDTF">2024-02-29T20:45:45Z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1049-11.2.0.10152</vt:lpwstr>
  </property>
</Properties>
</file>